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sharedservice.sharepoint.com/sites/StrategyIntelligence/Shared Documents/10. Projects/Child Population Decline/01 Data/Excel/2026 Update/"/>
    </mc:Choice>
  </mc:AlternateContent>
  <xr:revisionPtr revIDLastSave="0" documentId="13_ncr:1_{FB195186-D44B-43C3-A03B-B9541CB14AB5}" xr6:coauthVersionLast="47" xr6:coauthVersionMax="47" xr10:uidLastSave="{00000000-0000-0000-0000-000000000000}"/>
  <bookViews>
    <workbookView xWindow="-98" yWindow="-98" windowWidth="19396" windowHeight="11475" xr2:uid="{FD74054B-6C7D-4577-832C-1753EA506B71}"/>
  </bookViews>
  <sheets>
    <sheet name="Independent schools 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24" i="1"/>
  <c r="G17" i="1"/>
  <c r="G10" i="1"/>
</calcChain>
</file>

<file path=xl/sharedStrings.xml><?xml version="1.0" encoding="utf-8"?>
<sst xmlns="http://schemas.openxmlformats.org/spreadsheetml/2006/main" count="74" uniqueCount="21">
  <si>
    <t>Cross border movement</t>
  </si>
  <si>
    <t>Calculations</t>
  </si>
  <si>
    <t>ONS MYE</t>
  </si>
  <si>
    <t>Year</t>
  </si>
  <si>
    <t>LA</t>
  </si>
  <si>
    <t>phase</t>
  </si>
  <si>
    <t>Mtd Schs resident headcount</t>
  </si>
  <si>
    <t>Mtd schs in LA</t>
  </si>
  <si>
    <t>Mtd schs outside la</t>
  </si>
  <si>
    <t>LA resident headcount</t>
  </si>
  <si>
    <t>% independent schools</t>
  </si>
  <si>
    <t>MYE 4-10</t>
  </si>
  <si>
    <t>MYE 11-16</t>
  </si>
  <si>
    <t>Kensington and Chelsea</t>
  </si>
  <si>
    <t>Primary</t>
  </si>
  <si>
    <t>Westminster</t>
  </si>
  <si>
    <t>Secondary</t>
  </si>
  <si>
    <t>Cross border movement, Data set from Schools, pupils and their characteristics - Explore education statistics - GOV.UK</t>
  </si>
  <si>
    <t>ONS Mid-year estimates</t>
  </si>
  <si>
    <t>Estimates of the population for the UK, England, Wales, Scotland, and Northern Ireland - Office for National Statistics</t>
  </si>
  <si>
    <t>Independent school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</si>
</sst>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EBD1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4" fontId="2" fillId="0" borderId="10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0" fillId="6" borderId="17" xfId="0" applyNumberFormat="1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64" fontId="2" fillId="0" borderId="17" xfId="1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8" borderId="10" xfId="0" applyNumberForma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2" applyAlignment="1">
      <alignment horizontal="lef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ns.gov.uk/peoplepopulationandcommunity/populationandmigration/populationestimates/datasets/populationestimatesforukenglandandwalesscotlandandnorthernireland" TargetMode="External"/><Relationship Id="rId1" Type="http://schemas.openxmlformats.org/officeDocument/2006/relationships/hyperlink" Target="https://explore-education-statistics.service.gov.uk/data-catalogue/data-set/56f3447c-3950-4075-9aab-4ddc62977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9D63-98DC-4E0B-99FE-C5CECFF8DED1}">
  <sheetPr>
    <tabColor rgb="FFE5013C"/>
  </sheetPr>
  <dimension ref="A1:K34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7" sqref="J7"/>
    </sheetView>
  </sheetViews>
  <sheetFormatPr defaultRowHeight="14.25" x14ac:dyDescent="0.45"/>
  <cols>
    <col min="1" max="1" width="8.33203125" customWidth="1"/>
    <col min="2" max="2" width="20.19921875" bestFit="1" customWidth="1"/>
    <col min="3" max="3" width="11" customWidth="1"/>
    <col min="4" max="4" width="17.6640625" customWidth="1"/>
    <col min="5" max="6" width="12.53125" customWidth="1"/>
    <col min="7" max="7" width="12.86328125" customWidth="1"/>
    <col min="8" max="8" width="16.1328125" customWidth="1"/>
    <col min="9" max="9" width="14.6640625" customWidth="1"/>
    <col min="10" max="11" width="9.796875" customWidth="1"/>
  </cols>
  <sheetData>
    <row r="1" spans="1:11" ht="14.65" thickBot="1" x14ac:dyDescent="0.5"/>
    <row r="2" spans="1:11" ht="16.149999999999999" thickBot="1" x14ac:dyDescent="0.5">
      <c r="D2" s="47" t="s">
        <v>0</v>
      </c>
      <c r="E2" s="48"/>
      <c r="F2" s="49"/>
      <c r="H2" s="50" t="s">
        <v>1</v>
      </c>
      <c r="I2" s="51"/>
      <c r="J2" s="47" t="s">
        <v>2</v>
      </c>
      <c r="K2" s="49"/>
    </row>
    <row r="3" spans="1:11" ht="28.5" x14ac:dyDescent="0.45">
      <c r="A3" s="1" t="s">
        <v>3</v>
      </c>
      <c r="B3" s="1" t="s">
        <v>4</v>
      </c>
      <c r="C3" s="2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7" t="s">
        <v>20</v>
      </c>
      <c r="I3" s="8" t="s">
        <v>10</v>
      </c>
      <c r="J3" s="9" t="s">
        <v>11</v>
      </c>
      <c r="K3" s="10" t="s">
        <v>12</v>
      </c>
    </row>
    <row r="4" spans="1:11" x14ac:dyDescent="0.45">
      <c r="A4" s="11">
        <v>201718</v>
      </c>
      <c r="B4" s="12" t="s">
        <v>13</v>
      </c>
      <c r="C4" s="12" t="s">
        <v>14</v>
      </c>
      <c r="D4" s="13">
        <v>5117</v>
      </c>
      <c r="E4" s="14">
        <v>4719</v>
      </c>
      <c r="F4" s="15">
        <v>398</v>
      </c>
      <c r="G4" s="16">
        <v>9880</v>
      </c>
      <c r="H4" s="17">
        <v>4763</v>
      </c>
      <c r="I4" s="18">
        <v>0.482085020242915</v>
      </c>
      <c r="J4" s="13">
        <v>9880</v>
      </c>
      <c r="K4" s="19"/>
    </row>
    <row r="5" spans="1:11" x14ac:dyDescent="0.45">
      <c r="A5" s="20">
        <v>201819</v>
      </c>
      <c r="B5" t="s">
        <v>13</v>
      </c>
      <c r="C5" t="s">
        <v>14</v>
      </c>
      <c r="D5" s="21">
        <v>4992</v>
      </c>
      <c r="E5" s="22">
        <v>4609</v>
      </c>
      <c r="F5" s="23">
        <v>383</v>
      </c>
      <c r="G5" s="24">
        <v>9589</v>
      </c>
      <c r="H5" s="25">
        <v>4597</v>
      </c>
      <c r="I5" s="26">
        <v>0.47940348315778497</v>
      </c>
      <c r="J5" s="21">
        <v>9589</v>
      </c>
      <c r="K5" s="27"/>
    </row>
    <row r="6" spans="1:11" x14ac:dyDescent="0.45">
      <c r="A6" s="20">
        <v>201920</v>
      </c>
      <c r="B6" t="s">
        <v>13</v>
      </c>
      <c r="C6" t="s">
        <v>14</v>
      </c>
      <c r="D6" s="21">
        <v>4946</v>
      </c>
      <c r="E6" s="22">
        <v>4578</v>
      </c>
      <c r="F6" s="23">
        <v>368</v>
      </c>
      <c r="G6" s="24">
        <v>9191</v>
      </c>
      <c r="H6" s="25">
        <v>4245</v>
      </c>
      <c r="I6" s="26">
        <v>0.46186486780546188</v>
      </c>
      <c r="J6" s="21">
        <v>9191</v>
      </c>
      <c r="K6" s="27"/>
    </row>
    <row r="7" spans="1:11" x14ac:dyDescent="0.45">
      <c r="A7" s="20">
        <v>202021</v>
      </c>
      <c r="B7" t="s">
        <v>13</v>
      </c>
      <c r="C7" t="s">
        <v>14</v>
      </c>
      <c r="D7" s="21">
        <v>4806</v>
      </c>
      <c r="E7" s="22">
        <v>4473</v>
      </c>
      <c r="F7" s="23">
        <v>333</v>
      </c>
      <c r="G7" s="24">
        <v>8875</v>
      </c>
      <c r="H7" s="25">
        <v>4069</v>
      </c>
      <c r="I7" s="26">
        <v>0.45847887323943665</v>
      </c>
      <c r="J7" s="21">
        <v>8875</v>
      </c>
      <c r="K7" s="28"/>
    </row>
    <row r="8" spans="1:11" x14ac:dyDescent="0.45">
      <c r="A8" s="20">
        <v>202122</v>
      </c>
      <c r="B8" t="s">
        <v>13</v>
      </c>
      <c r="C8" t="s">
        <v>14</v>
      </c>
      <c r="D8" s="21">
        <v>4789</v>
      </c>
      <c r="E8" s="22">
        <v>4490</v>
      </c>
      <c r="F8" s="23">
        <v>299</v>
      </c>
      <c r="G8" s="24">
        <v>8859</v>
      </c>
      <c r="H8" s="25">
        <v>4070</v>
      </c>
      <c r="I8" s="26">
        <v>0.45941979907438762</v>
      </c>
      <c r="J8" s="21">
        <v>8859</v>
      </c>
      <c r="K8" s="28"/>
    </row>
    <row r="9" spans="1:11" x14ac:dyDescent="0.45">
      <c r="A9" s="20">
        <v>202223</v>
      </c>
      <c r="B9" t="s">
        <v>13</v>
      </c>
      <c r="C9" t="s">
        <v>14</v>
      </c>
      <c r="D9" s="21">
        <v>4582</v>
      </c>
      <c r="E9" s="22">
        <v>4303</v>
      </c>
      <c r="F9" s="23">
        <v>279</v>
      </c>
      <c r="G9" s="24">
        <v>8817</v>
      </c>
      <c r="H9" s="25">
        <v>4235</v>
      </c>
      <c r="I9" s="26">
        <v>0.48032210502438472</v>
      </c>
      <c r="J9" s="21">
        <v>8817</v>
      </c>
      <c r="K9" s="28"/>
    </row>
    <row r="10" spans="1:11" x14ac:dyDescent="0.45">
      <c r="A10" s="29">
        <v>202324</v>
      </c>
      <c r="B10" s="30" t="s">
        <v>13</v>
      </c>
      <c r="C10" s="30" t="s">
        <v>14</v>
      </c>
      <c r="D10" s="31">
        <v>4374</v>
      </c>
      <c r="E10" s="32">
        <v>4124</v>
      </c>
      <c r="F10" s="33">
        <v>250</v>
      </c>
      <c r="G10" s="34">
        <f>G9*(1-((D9-D10)/D9))</f>
        <v>8416.7520733304245</v>
      </c>
      <c r="H10" s="35">
        <v>4042.7520733304245</v>
      </c>
      <c r="I10" s="36">
        <v>0.48032210502438477</v>
      </c>
      <c r="J10" s="31"/>
      <c r="K10" s="37"/>
    </row>
    <row r="11" spans="1:11" x14ac:dyDescent="0.45">
      <c r="A11" s="11">
        <v>201718</v>
      </c>
      <c r="B11" s="12" t="s">
        <v>15</v>
      </c>
      <c r="C11" s="12" t="s">
        <v>14</v>
      </c>
      <c r="D11" s="13">
        <v>8369</v>
      </c>
      <c r="E11" s="14">
        <v>7449</v>
      </c>
      <c r="F11" s="15">
        <v>920</v>
      </c>
      <c r="G11" s="38">
        <v>12505</v>
      </c>
      <c r="H11" s="17">
        <v>4136</v>
      </c>
      <c r="I11" s="18">
        <v>0.33074770091963213</v>
      </c>
      <c r="J11" s="13">
        <v>12505</v>
      </c>
      <c r="K11" s="19"/>
    </row>
    <row r="12" spans="1:11" x14ac:dyDescent="0.45">
      <c r="A12" s="20">
        <v>201819</v>
      </c>
      <c r="B12" t="s">
        <v>15</v>
      </c>
      <c r="C12" t="s">
        <v>14</v>
      </c>
      <c r="D12" s="21">
        <v>8063</v>
      </c>
      <c r="E12" s="22">
        <v>7114</v>
      </c>
      <c r="F12" s="23">
        <v>949</v>
      </c>
      <c r="G12" s="39">
        <v>12020</v>
      </c>
      <c r="H12" s="25">
        <v>3957</v>
      </c>
      <c r="I12" s="26">
        <v>0.32920133111480865</v>
      </c>
      <c r="J12" s="21">
        <v>12020</v>
      </c>
      <c r="K12" s="27"/>
    </row>
    <row r="13" spans="1:11" x14ac:dyDescent="0.45">
      <c r="A13" s="20">
        <v>201920</v>
      </c>
      <c r="B13" t="s">
        <v>15</v>
      </c>
      <c r="C13" t="s">
        <v>14</v>
      </c>
      <c r="D13" s="21">
        <v>7661</v>
      </c>
      <c r="E13" s="22">
        <v>6735</v>
      </c>
      <c r="F13" s="23">
        <v>926</v>
      </c>
      <c r="G13" s="39">
        <v>11610</v>
      </c>
      <c r="H13" s="25">
        <v>3949</v>
      </c>
      <c r="I13" s="26">
        <v>0.3401378122308355</v>
      </c>
      <c r="J13" s="21">
        <v>11610</v>
      </c>
      <c r="K13" s="27"/>
    </row>
    <row r="14" spans="1:11" x14ac:dyDescent="0.45">
      <c r="A14" s="20">
        <v>202021</v>
      </c>
      <c r="B14" t="s">
        <v>15</v>
      </c>
      <c r="C14" t="s">
        <v>14</v>
      </c>
      <c r="D14" s="21">
        <v>7477</v>
      </c>
      <c r="E14" s="22">
        <v>6490</v>
      </c>
      <c r="F14" s="23">
        <v>987</v>
      </c>
      <c r="G14" s="39">
        <v>11146</v>
      </c>
      <c r="H14" s="25">
        <v>3669</v>
      </c>
      <c r="I14" s="26">
        <v>0.32917638614749684</v>
      </c>
      <c r="J14" s="21">
        <v>11146</v>
      </c>
      <c r="K14" s="28"/>
    </row>
    <row r="15" spans="1:11" x14ac:dyDescent="0.45">
      <c r="A15" s="20">
        <v>202122</v>
      </c>
      <c r="B15" t="s">
        <v>15</v>
      </c>
      <c r="C15" t="s">
        <v>14</v>
      </c>
      <c r="D15" s="21">
        <v>7372</v>
      </c>
      <c r="E15" s="22">
        <v>6377</v>
      </c>
      <c r="F15" s="23">
        <v>995</v>
      </c>
      <c r="G15" s="39">
        <v>10866</v>
      </c>
      <c r="H15" s="25">
        <v>3494</v>
      </c>
      <c r="I15" s="26">
        <v>0.32155346953800845</v>
      </c>
      <c r="J15" s="21">
        <v>10866</v>
      </c>
      <c r="K15" s="28"/>
    </row>
    <row r="16" spans="1:11" x14ac:dyDescent="0.45">
      <c r="A16" s="20">
        <v>202223</v>
      </c>
      <c r="B16" t="s">
        <v>15</v>
      </c>
      <c r="C16" t="s">
        <v>14</v>
      </c>
      <c r="D16" s="21">
        <v>6968</v>
      </c>
      <c r="E16" s="22">
        <v>5961</v>
      </c>
      <c r="F16" s="23">
        <v>1007</v>
      </c>
      <c r="G16" s="39">
        <v>10691</v>
      </c>
      <c r="H16" s="25">
        <v>3723</v>
      </c>
      <c r="I16" s="26">
        <v>0.3482368347207932</v>
      </c>
      <c r="J16" s="21">
        <v>10691</v>
      </c>
      <c r="K16" s="28"/>
    </row>
    <row r="17" spans="1:11" x14ac:dyDescent="0.45">
      <c r="A17" s="29">
        <v>202324</v>
      </c>
      <c r="B17" s="30" t="s">
        <v>15</v>
      </c>
      <c r="C17" s="30" t="s">
        <v>14</v>
      </c>
      <c r="D17" s="31">
        <v>6736</v>
      </c>
      <c r="E17" s="32">
        <v>5688</v>
      </c>
      <c r="F17" s="33">
        <v>1048</v>
      </c>
      <c r="G17" s="34">
        <f>G16*(1-((D16-D17)/D16))</f>
        <v>10335.042479908152</v>
      </c>
      <c r="H17" s="35">
        <v>3599.042479908152</v>
      </c>
      <c r="I17" s="36">
        <v>0.3482368347207932</v>
      </c>
      <c r="J17" s="31"/>
      <c r="K17" s="37"/>
    </row>
    <row r="18" spans="1:11" x14ac:dyDescent="0.45">
      <c r="A18" s="11">
        <v>201718</v>
      </c>
      <c r="B18" s="12" t="s">
        <v>13</v>
      </c>
      <c r="C18" s="12" t="s">
        <v>16</v>
      </c>
      <c r="D18" s="13">
        <v>3057</v>
      </c>
      <c r="E18" s="14">
        <v>2082</v>
      </c>
      <c r="F18" s="15">
        <v>975</v>
      </c>
      <c r="G18" s="40">
        <v>7707</v>
      </c>
      <c r="H18" s="17">
        <v>4650</v>
      </c>
      <c r="I18" s="18">
        <v>0.60334760607240168</v>
      </c>
      <c r="J18" s="13"/>
      <c r="K18" s="19">
        <v>7707</v>
      </c>
    </row>
    <row r="19" spans="1:11" x14ac:dyDescent="0.45">
      <c r="A19" s="20">
        <v>201819</v>
      </c>
      <c r="B19" t="s">
        <v>13</v>
      </c>
      <c r="C19" t="s">
        <v>16</v>
      </c>
      <c r="D19" s="21">
        <v>3108</v>
      </c>
      <c r="E19" s="22">
        <v>2184</v>
      </c>
      <c r="F19" s="23">
        <v>924</v>
      </c>
      <c r="G19" s="41">
        <v>7820</v>
      </c>
      <c r="H19" s="25">
        <v>4712</v>
      </c>
      <c r="I19" s="26">
        <v>0.60255754475703327</v>
      </c>
      <c r="J19" s="21"/>
      <c r="K19" s="27">
        <v>7820</v>
      </c>
    </row>
    <row r="20" spans="1:11" x14ac:dyDescent="0.45">
      <c r="A20" s="20">
        <v>201920</v>
      </c>
      <c r="B20" t="s">
        <v>13</v>
      </c>
      <c r="C20" t="s">
        <v>16</v>
      </c>
      <c r="D20" s="21">
        <v>3115</v>
      </c>
      <c r="E20" s="22">
        <v>2200</v>
      </c>
      <c r="F20" s="23">
        <v>915</v>
      </c>
      <c r="G20" s="41">
        <v>7886</v>
      </c>
      <c r="H20" s="25">
        <v>4771</v>
      </c>
      <c r="I20" s="26">
        <v>0.60499619579000763</v>
      </c>
      <c r="J20" s="21"/>
      <c r="K20" s="27">
        <v>7886</v>
      </c>
    </row>
    <row r="21" spans="1:11" x14ac:dyDescent="0.45">
      <c r="A21" s="20">
        <v>202021</v>
      </c>
      <c r="B21" t="s">
        <v>13</v>
      </c>
      <c r="C21" t="s">
        <v>16</v>
      </c>
      <c r="D21" s="21">
        <v>3042</v>
      </c>
      <c r="E21" s="22">
        <v>2173</v>
      </c>
      <c r="F21" s="23">
        <v>869</v>
      </c>
      <c r="G21" s="41">
        <v>7674</v>
      </c>
      <c r="H21" s="25">
        <v>4632</v>
      </c>
      <c r="I21" s="26">
        <v>0.60359655981235338</v>
      </c>
      <c r="J21" s="42"/>
      <c r="K21" s="27">
        <v>7674</v>
      </c>
    </row>
    <row r="22" spans="1:11" x14ac:dyDescent="0.45">
      <c r="A22" s="20">
        <v>202122</v>
      </c>
      <c r="B22" t="s">
        <v>13</v>
      </c>
      <c r="C22" t="s">
        <v>16</v>
      </c>
      <c r="D22" s="21">
        <v>3141</v>
      </c>
      <c r="E22" s="22">
        <v>2277</v>
      </c>
      <c r="F22" s="23">
        <v>864</v>
      </c>
      <c r="G22" s="41">
        <v>7782</v>
      </c>
      <c r="H22" s="25">
        <v>4641</v>
      </c>
      <c r="I22" s="26">
        <v>0.59637625289128759</v>
      </c>
      <c r="J22" s="42"/>
      <c r="K22" s="27">
        <v>7782</v>
      </c>
    </row>
    <row r="23" spans="1:11" x14ac:dyDescent="0.45">
      <c r="A23" s="20">
        <v>202223</v>
      </c>
      <c r="B23" t="s">
        <v>13</v>
      </c>
      <c r="C23" t="s">
        <v>16</v>
      </c>
      <c r="D23" s="21">
        <v>3171</v>
      </c>
      <c r="E23" s="22">
        <v>2305</v>
      </c>
      <c r="F23" s="23">
        <v>866</v>
      </c>
      <c r="G23" s="41">
        <v>7528</v>
      </c>
      <c r="H23" s="25">
        <v>4357</v>
      </c>
      <c r="I23" s="26">
        <v>0.57877258235919238</v>
      </c>
      <c r="J23" s="42"/>
      <c r="K23" s="27">
        <v>7528</v>
      </c>
    </row>
    <row r="24" spans="1:11" x14ac:dyDescent="0.45">
      <c r="A24" s="29">
        <v>202324</v>
      </c>
      <c r="B24" s="30" t="s">
        <v>13</v>
      </c>
      <c r="C24" s="30" t="s">
        <v>16</v>
      </c>
      <c r="D24" s="31">
        <v>2985</v>
      </c>
      <c r="E24" s="32">
        <v>2228</v>
      </c>
      <c r="F24" s="33">
        <v>757</v>
      </c>
      <c r="G24" s="34">
        <f>G23*(1-((D23-D24)/D23))</f>
        <v>7086.4333017975405</v>
      </c>
      <c r="H24" s="35">
        <v>4101.4333017975405</v>
      </c>
      <c r="I24" s="36">
        <v>0.57877258235919238</v>
      </c>
      <c r="J24" s="31"/>
      <c r="K24" s="37"/>
    </row>
    <row r="25" spans="1:11" x14ac:dyDescent="0.45">
      <c r="A25" s="11">
        <v>201718</v>
      </c>
      <c r="B25" s="12" t="s">
        <v>15</v>
      </c>
      <c r="C25" s="12" t="s">
        <v>16</v>
      </c>
      <c r="D25" s="13">
        <v>5957</v>
      </c>
      <c r="E25" s="14">
        <v>4641</v>
      </c>
      <c r="F25" s="15">
        <v>1316</v>
      </c>
      <c r="G25" s="40">
        <v>10497</v>
      </c>
      <c r="H25" s="17">
        <v>4540</v>
      </c>
      <c r="I25" s="18">
        <v>0.43250452510241022</v>
      </c>
      <c r="J25" s="13"/>
      <c r="K25" s="19">
        <v>10497</v>
      </c>
    </row>
    <row r="26" spans="1:11" x14ac:dyDescent="0.45">
      <c r="A26" s="20">
        <v>201819</v>
      </c>
      <c r="B26" t="s">
        <v>15</v>
      </c>
      <c r="C26" t="s">
        <v>16</v>
      </c>
      <c r="D26" s="21">
        <v>5922</v>
      </c>
      <c r="E26" s="22">
        <v>4697</v>
      </c>
      <c r="F26" s="23">
        <v>1225</v>
      </c>
      <c r="G26" s="41">
        <v>10756</v>
      </c>
      <c r="H26" s="25">
        <v>4834</v>
      </c>
      <c r="I26" s="26">
        <v>0.44942357753811824</v>
      </c>
      <c r="J26" s="21"/>
      <c r="K26" s="27">
        <v>10756</v>
      </c>
    </row>
    <row r="27" spans="1:11" x14ac:dyDescent="0.45">
      <c r="A27" s="20">
        <v>201920</v>
      </c>
      <c r="B27" t="s">
        <v>15</v>
      </c>
      <c r="C27" t="s">
        <v>16</v>
      </c>
      <c r="D27" s="21">
        <v>6142</v>
      </c>
      <c r="E27" s="22">
        <v>4957</v>
      </c>
      <c r="F27" s="23">
        <v>1185</v>
      </c>
      <c r="G27" s="41">
        <v>10585</v>
      </c>
      <c r="H27" s="25">
        <v>4443</v>
      </c>
      <c r="I27" s="26">
        <v>0.41974492205951819</v>
      </c>
      <c r="J27" s="21"/>
      <c r="K27" s="27">
        <v>10585</v>
      </c>
    </row>
    <row r="28" spans="1:11" x14ac:dyDescent="0.45">
      <c r="A28" s="20">
        <v>202021</v>
      </c>
      <c r="B28" t="s">
        <v>15</v>
      </c>
      <c r="C28" t="s">
        <v>16</v>
      </c>
      <c r="D28" s="21">
        <v>6072</v>
      </c>
      <c r="E28" s="22">
        <v>4863</v>
      </c>
      <c r="F28" s="23">
        <v>1209</v>
      </c>
      <c r="G28" s="41">
        <v>10514</v>
      </c>
      <c r="H28" s="25">
        <v>4442</v>
      </c>
      <c r="I28" s="26">
        <v>0.42248430663876735</v>
      </c>
      <c r="J28" s="42"/>
      <c r="K28" s="27">
        <v>10514</v>
      </c>
    </row>
    <row r="29" spans="1:11" x14ac:dyDescent="0.45">
      <c r="A29" s="20">
        <v>202122</v>
      </c>
      <c r="B29" t="s">
        <v>15</v>
      </c>
      <c r="C29" t="s">
        <v>16</v>
      </c>
      <c r="D29" s="21">
        <v>6114</v>
      </c>
      <c r="E29" s="22">
        <v>4914</v>
      </c>
      <c r="F29" s="23">
        <v>1200</v>
      </c>
      <c r="G29" s="41">
        <v>10318</v>
      </c>
      <c r="H29" s="25">
        <v>4204</v>
      </c>
      <c r="I29" s="26">
        <v>0.40744330296569103</v>
      </c>
      <c r="J29" s="42"/>
      <c r="K29" s="27">
        <v>10318</v>
      </c>
    </row>
    <row r="30" spans="1:11" x14ac:dyDescent="0.45">
      <c r="A30" s="20">
        <v>202223</v>
      </c>
      <c r="B30" t="s">
        <v>15</v>
      </c>
      <c r="C30" t="s">
        <v>16</v>
      </c>
      <c r="D30" s="21">
        <v>5947</v>
      </c>
      <c r="E30" s="22">
        <v>4757</v>
      </c>
      <c r="F30" s="23">
        <v>1190</v>
      </c>
      <c r="G30" s="41">
        <v>10004</v>
      </c>
      <c r="H30" s="25">
        <v>4057</v>
      </c>
      <c r="I30" s="26">
        <v>0.40553778488604558</v>
      </c>
      <c r="J30" s="42"/>
      <c r="K30" s="27">
        <v>10004</v>
      </c>
    </row>
    <row r="31" spans="1:11" ht="14.65" thickBot="1" x14ac:dyDescent="0.5">
      <c r="A31" s="29">
        <v>202324</v>
      </c>
      <c r="B31" s="30" t="s">
        <v>15</v>
      </c>
      <c r="C31" s="30" t="s">
        <v>16</v>
      </c>
      <c r="D31" s="43">
        <v>5876</v>
      </c>
      <c r="E31" s="44">
        <v>4671</v>
      </c>
      <c r="F31" s="45">
        <v>1205</v>
      </c>
      <c r="G31" s="34">
        <f>G30*(1-((D30-D31)/D30))</f>
        <v>9884.5643181436026</v>
      </c>
      <c r="H31" s="35">
        <v>4008.5643181436026</v>
      </c>
      <c r="I31" s="36">
        <v>0.40553778488604564</v>
      </c>
      <c r="J31" s="43"/>
      <c r="K31" s="46"/>
    </row>
    <row r="33" spans="2:11" x14ac:dyDescent="0.45">
      <c r="B33" s="52" t="s">
        <v>0</v>
      </c>
      <c r="C33" s="52"/>
      <c r="D33" s="53" t="s">
        <v>17</v>
      </c>
      <c r="E33" s="53"/>
      <c r="F33" s="53"/>
      <c r="G33" s="53"/>
      <c r="H33" s="53"/>
      <c r="I33" s="53"/>
      <c r="J33" s="53"/>
      <c r="K33" s="53"/>
    </row>
    <row r="34" spans="2:11" x14ac:dyDescent="0.45">
      <c r="B34" s="52" t="s">
        <v>18</v>
      </c>
      <c r="C34" s="52"/>
      <c r="D34" s="53" t="s">
        <v>19</v>
      </c>
      <c r="E34" s="53"/>
      <c r="F34" s="53"/>
      <c r="G34" s="53"/>
      <c r="H34" s="53"/>
      <c r="I34" s="53"/>
      <c r="J34" s="53"/>
      <c r="K34" s="53"/>
    </row>
  </sheetData>
  <mergeCells count="7">
    <mergeCell ref="B34:C34"/>
    <mergeCell ref="D34:K34"/>
    <mergeCell ref="D2:F2"/>
    <mergeCell ref="H2:I2"/>
    <mergeCell ref="J2:K2"/>
    <mergeCell ref="B33:C33"/>
    <mergeCell ref="D33:K33"/>
  </mergeCells>
  <hyperlinks>
    <hyperlink ref="D33" r:id="rId1" xr:uid="{824D490F-73A6-4BDA-B9FD-B828D6A1DD0D}"/>
    <hyperlink ref="D34" r:id="rId2" xr:uid="{32B75EF0-C191-4F98-89A1-44EB5936E37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343C077EEDF48BC0F21E96DA38792" ma:contentTypeVersion="29" ma:contentTypeDescription="Create a new document." ma:contentTypeScope="" ma:versionID="8734528f604104415e74fca46c2f23b4">
  <xsd:schema xmlns:xsd="http://www.w3.org/2001/XMLSchema" xmlns:xs="http://www.w3.org/2001/XMLSchema" xmlns:p="http://schemas.microsoft.com/office/2006/metadata/properties" xmlns:ns2="ee79a79a-79ca-46b8-b146-0ce4ad54d0ab" xmlns:ns3="af29bc46-6866-4b33-9058-f4db4a1e01ae" xmlns:ns4="d202d31c-686c-4115-a7b9-5cc891ed602b" targetNamespace="http://schemas.microsoft.com/office/2006/metadata/properties" ma:root="true" ma:fieldsID="bcdad2c4c46f4c076dbc34e6d2736d66" ns2:_="" ns3:_="" ns4:_="">
    <xsd:import namespace="ee79a79a-79ca-46b8-b146-0ce4ad54d0ab"/>
    <xsd:import namespace="af29bc46-6866-4b33-9058-f4db4a1e01ae"/>
    <xsd:import namespace="d202d31c-686c-4115-a7b9-5cc891ed60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Tags" minOccurs="0"/>
                <xsd:element ref="ns2:Order0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Shortlisted" minOccurs="0"/>
                <xsd:element ref="ns2:Skil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9a79a-79ca-46b8-b146-0ce4ad54d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ags" ma:index="21" nillable="true" ma:displayName="Tech Skills" ma:description="Description to help with filing" ma:format="Dropdown" ma:internalName="Tags">
      <xsd:simpleType>
        <xsd:restriction base="dms:Text">
          <xsd:maxLength value="255"/>
        </xsd:restriction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8bb61a9-1cb6-416b-8dcb-4ddbf3c41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hortlisted" ma:index="27" nillable="true" ma:displayName="Shortlisted" ma:format="Dropdown" ma:internalName="Shortlisted">
      <xsd:simpleType>
        <xsd:restriction base="dms:Choice">
          <xsd:enumeration value="No"/>
          <xsd:enumeration value="Yes"/>
          <xsd:enumeration value="Potentially"/>
        </xsd:restriction>
      </xsd:simpleType>
    </xsd:element>
    <xsd:element name="Skills" ma:index="28" nillable="true" ma:displayName="GIS/BI Skills" ma:format="Dropdown" ma:internalName="Skills">
      <xsd:simpleType>
        <xsd:restriction base="dms:Choice">
          <xsd:enumeration value="No mention of GIS or Power BI"/>
          <xsd:enumeration value="Familiar/Training in GIS, experience of Power BI"/>
          <xsd:enumeration value="Both GIS and power BI skills"/>
          <xsd:enumeration value="Power BI skills, no mention of GIS"/>
          <xsd:enumeration value="GIS skills, no mention of Power BI"/>
        </xsd:restriction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9bc46-6866-4b33-9058-f4db4a1e01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2d31c-686c-4115-a7b9-5cc891ed602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053af2b6-a849-442c-a858-c9d2723e18be}" ma:internalName="TaxCatchAll" ma:showField="CatchAllData" ma:web="af29bc46-6866-4b33-9058-f4db4a1e0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79a79a-79ca-46b8-b146-0ce4ad54d0ab">
      <Terms xmlns="http://schemas.microsoft.com/office/infopath/2007/PartnerControls"/>
    </lcf76f155ced4ddcb4097134ff3c332f>
    <Order0 xmlns="ee79a79a-79ca-46b8-b146-0ce4ad54d0ab" xsi:nil="true"/>
    <Shortlisted xmlns="ee79a79a-79ca-46b8-b146-0ce4ad54d0ab" xsi:nil="true"/>
    <Tags xmlns="ee79a79a-79ca-46b8-b146-0ce4ad54d0ab" xsi:nil="true"/>
    <TaxCatchAll xmlns="d202d31c-686c-4115-a7b9-5cc891ed602b" xsi:nil="true"/>
    <Skills xmlns="ee79a79a-79ca-46b8-b146-0ce4ad54d0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934D98-8556-4310-B9F5-D5DA9965D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9a79a-79ca-46b8-b146-0ce4ad54d0ab"/>
    <ds:schemaRef ds:uri="af29bc46-6866-4b33-9058-f4db4a1e01ae"/>
    <ds:schemaRef ds:uri="d202d31c-686c-4115-a7b9-5cc891ed6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D77B29-181A-471B-BDF3-462EE37BAD38}">
  <ds:schemaRefs>
    <ds:schemaRef ds:uri="http://schemas.microsoft.com/office/2006/metadata/properties"/>
    <ds:schemaRef ds:uri="http://schemas.microsoft.com/office/infopath/2007/PartnerControls"/>
    <ds:schemaRef ds:uri="ee79a79a-79ca-46b8-b146-0ce4ad54d0ab"/>
    <ds:schemaRef ds:uri="d202d31c-686c-4115-a7b9-5cc891ed602b"/>
  </ds:schemaRefs>
</ds:datastoreItem>
</file>

<file path=customXml/itemProps3.xml><?xml version="1.0" encoding="utf-8"?>
<ds:datastoreItem xmlns:ds="http://schemas.openxmlformats.org/officeDocument/2006/customXml" ds:itemID="{56540556-8173-4FA4-B92F-290D919C84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Independent schools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Pearse, Andrew: WCC</dc:creator>
  <cp:lastModifiedBy>Reilly, Sian: WCC</cp:lastModifiedBy>
  <dcterms:created xsi:type="dcterms:W3CDTF">2024-11-14T09:15:34Z</dcterms:created>
  <dcterms:modified xsi:type="dcterms:W3CDTF">2026-07-22T11:09:48Z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0x01010072D343C077EEDF48BC0F21E96DA38792</vt:lpwstr>
  </property>
  <property fmtid="{D5CDD505-2E9C-101B-9397-08002B2CF9AE}" pid="3" name="MediaServiceImageTags">
    <vt:lpwstr/>
  </property>
</Properties>
</file>